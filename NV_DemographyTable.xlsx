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64e7b0c1dcbe250/PhD/NVBP/"/>
    </mc:Choice>
  </mc:AlternateContent>
  <xr:revisionPtr revIDLastSave="2" documentId="11_CD485FBE2242ABC19655BC3DDDA67E96363BA7E0" xr6:coauthVersionLast="47" xr6:coauthVersionMax="47" xr10:uidLastSave="{C97F9150-C7F8-4926-BA4A-C47EFECA89D2}"/>
  <bookViews>
    <workbookView xWindow="653" yWindow="143" windowWidth="14564" windowHeight="11895" activeTab="1" xr2:uid="{00000000-000D-0000-FFFF-FFFF00000000}"/>
  </bookViews>
  <sheets>
    <sheet name="Instructions" sheetId="1" r:id="rId1"/>
    <sheet name="nv_demography_table" sheetId="2" r:id="rId2"/>
  </sheets>
  <definedNames>
    <definedName name="_xlnm._FilterDatabase" localSheetId="1" hidden="1">nv_demography_table!$A$2:$AD$31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<sst xmlns="http://schemas.openxmlformats.org/spreadsheetml/2006/main" count="234" uniqueCount="122">
  <si>
    <t>Last updated 5-Nov-2025 KHS MAHB</t>
  </si>
  <si>
    <t>Column Name</t>
  </si>
  <si>
    <t>How to fill it in</t>
  </si>
  <si>
    <t>Name</t>
  </si>
  <si>
    <t>What name did the team give this baboon, spelled out fully</t>
  </si>
  <si>
    <t>Code</t>
  </si>
  <si>
    <t>What is the code we use in data collection for this named baboon?</t>
  </si>
  <si>
    <t>Additional code</t>
  </si>
  <si>
    <t>Some individuals had previously used codes either before a code revision or before they were named officially (for example EC_INF for Enza)</t>
  </si>
  <si>
    <t>Sex</t>
  </si>
  <si>
    <t>What sex is the individual?</t>
  </si>
  <si>
    <t>Date_first_seen</t>
  </si>
  <si>
    <t>On what date was the individual first seen in the group?</t>
  </si>
  <si>
    <t>NV_original</t>
  </si>
  <si>
    <t>Was this baboon one of the original Nature's Valley baboon troop from 2023-2024 before the fusion occurred? Note that when a group original has a baby after the fusion, that baby is not an original group member.</t>
  </si>
  <si>
    <t>alive_now?</t>
  </si>
  <si>
    <t>Is this individual alive as of the latest update to the demography?</t>
  </si>
  <si>
    <t>age_category_first_seen</t>
  </si>
  <si>
    <t>When first seen in the group, what age category did the individual fall under: Infant, Older infant, Juvenile, Adult (if male), Nulliparous or Parous if female</t>
  </si>
  <si>
    <t>birthdate</t>
  </si>
  <si>
    <t>Can we estimate or do we know exactly the individual's birth date?</t>
  </si>
  <si>
    <t>birthdate_estimation_notes</t>
  </si>
  <si>
    <t>Did we see the individual immediately after their birth? How are we estimating birth date?</t>
  </si>
  <si>
    <t>date_last_suckled</t>
  </si>
  <si>
    <t>What date did we last see this individual suckling? This enables understanding of when they were weaned.</t>
  </si>
  <si>
    <t>date_first_swelling</t>
  </si>
  <si>
    <t>What date did we first observe this female individual with a sexual swelling?</t>
  </si>
  <si>
    <t>date_last_seen</t>
  </si>
  <si>
    <t>What date did we last see this individual before they disappeared / died?</t>
  </si>
  <si>
    <t>notes_last_seen</t>
  </si>
  <si>
    <t>What additional information can you provide about an individual no longer being a member of the group?</t>
  </si>
  <si>
    <t>Comments</t>
  </si>
  <si>
    <t>Additional comments (for example, this is a place to report Rooibos and Kibale's permanent injuries or date of Lucky's pregnancy loss)</t>
  </si>
  <si>
    <t xml:space="preserve">Current Size: </t>
  </si>
  <si>
    <t>Additional_Codes</t>
  </si>
  <si>
    <t>date_first_seen</t>
  </si>
  <si>
    <t>NV_Original</t>
  </si>
  <si>
    <t xml:space="preserve">alive_now? </t>
  </si>
  <si>
    <t>age_categeory_first_seen</t>
  </si>
  <si>
    <t>Another Female</t>
  </si>
  <si>
    <t>Unsure</t>
  </si>
  <si>
    <t>female</t>
  </si>
  <si>
    <t>yes</t>
  </si>
  <si>
    <t>dead</t>
  </si>
  <si>
    <t>Juvenile</t>
  </si>
  <si>
    <t>Bvuma</t>
  </si>
  <si>
    <t>BV</t>
  </si>
  <si>
    <t>alive</t>
  </si>
  <si>
    <t>Parous; Elder</t>
  </si>
  <si>
    <t>Echo</t>
  </si>
  <si>
    <t>EC</t>
  </si>
  <si>
    <t>no</t>
  </si>
  <si>
    <t>Parous</t>
  </si>
  <si>
    <t>Enza</t>
  </si>
  <si>
    <t>EN</t>
  </si>
  <si>
    <t>Echo's Baby, EC_INF</t>
  </si>
  <si>
    <t>Older infant</t>
  </si>
  <si>
    <t>Ellie Sparks</t>
  </si>
  <si>
    <t>ES</t>
  </si>
  <si>
    <t>Might also be Sandia</t>
  </si>
  <si>
    <t>Permanent electrocution wound recovered from before disappearance</t>
  </si>
  <si>
    <t>Gromit</t>
  </si>
  <si>
    <t>GR</t>
  </si>
  <si>
    <t>GB</t>
  </si>
  <si>
    <t>male</t>
  </si>
  <si>
    <t>Ingwe</t>
  </si>
  <si>
    <t>IW</t>
  </si>
  <si>
    <t>Ingwe INF</t>
  </si>
  <si>
    <t>IW_INF1</t>
  </si>
  <si>
    <t>Infant</t>
  </si>
  <si>
    <t>Kelp</t>
  </si>
  <si>
    <t>Kibale</t>
  </si>
  <si>
    <t>KB</t>
  </si>
  <si>
    <t>Has permanently injured eye + head tilt</t>
  </si>
  <si>
    <t>Lucky</t>
  </si>
  <si>
    <t>LK</t>
  </si>
  <si>
    <t>LU</t>
  </si>
  <si>
    <t>Nulliparous</t>
  </si>
  <si>
    <t>Lost first pregnancy May 2025</t>
  </si>
  <si>
    <t>Milton</t>
  </si>
  <si>
    <t>ML</t>
  </si>
  <si>
    <t>Moss</t>
  </si>
  <si>
    <t>MS</t>
  </si>
  <si>
    <t>Outeniqua</t>
  </si>
  <si>
    <t>OU</t>
  </si>
  <si>
    <t>Outeniqua  INF</t>
  </si>
  <si>
    <t>OU_INF1</t>
  </si>
  <si>
    <t>Protea</t>
  </si>
  <si>
    <t>PR</t>
  </si>
  <si>
    <t>Rooibos</t>
  </si>
  <si>
    <t>RB</t>
  </si>
  <si>
    <t>RY</t>
  </si>
  <si>
    <t>Permanent electrocution wound</t>
  </si>
  <si>
    <t xml:space="preserve">Sandia </t>
  </si>
  <si>
    <t>SD</t>
  </si>
  <si>
    <t>Might also be Ellie</t>
  </si>
  <si>
    <t>Shadow</t>
  </si>
  <si>
    <t>SH</t>
  </si>
  <si>
    <t xml:space="preserve">Adult </t>
  </si>
  <si>
    <t>Susan</t>
  </si>
  <si>
    <t>SU</t>
  </si>
  <si>
    <t>Willow</t>
  </si>
  <si>
    <t>WO</t>
  </si>
  <si>
    <t>Zinnia</t>
  </si>
  <si>
    <t>ZN</t>
  </si>
  <si>
    <t>Kibale INF</t>
  </si>
  <si>
    <t>KB_INF1</t>
  </si>
  <si>
    <t>[Fill in]</t>
  </si>
  <si>
    <t>Susan INF</t>
  </si>
  <si>
    <t>SU_INF1</t>
  </si>
  <si>
    <t>Protea  INF</t>
  </si>
  <si>
    <t>PR_INF1</t>
  </si>
  <si>
    <t>Moss INF</t>
  </si>
  <si>
    <t>MS_INF1</t>
  </si>
  <si>
    <t>Zinnia INF</t>
  </si>
  <si>
    <t>ZN_INF1</t>
  </si>
  <si>
    <t>uknown</t>
  </si>
  <si>
    <t>Ingwe INF2</t>
  </si>
  <si>
    <t>IW_INF2</t>
  </si>
  <si>
    <t>Echo INF2</t>
  </si>
  <si>
    <t>EC_INF2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</si>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</sst>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8"/>
  <sheetViews>
    <sheetView workbookViewId="0"/>
  </sheetViews>
  <sheetFormatPr defaultColWidth="12.59765625" defaultRowHeight="15.75" customHeight="1" x14ac:dyDescent="0.35"/>
  <cols>
    <col min="1" max="1" width="23.59765625" customWidth="1"/>
    <col min="2" max="2" width="43" customWidth="1"/>
  </cols>
  <sheetData>
    <row r="1" spans="1:2" x14ac:dyDescent="0.35">
      <c r="A1" s="1" t="s">
        <v>0</v>
      </c>
    </row>
    <row r="2" spans="1:2" ht="15.75" customHeight="1" x14ac:dyDescent="0.4">
      <c r="A2" s="2"/>
      <c r="B2" s="3"/>
    </row>
    <row r="3" spans="1:2" ht="15.75" customHeight="1" x14ac:dyDescent="0.4">
      <c r="A3" s="4" t="s">
        <v>1</v>
      </c>
      <c r="B3" s="5" t="s">
        <v>2</v>
      </c>
    </row>
    <row r="4" spans="1:2" ht="15.75" customHeight="1" x14ac:dyDescent="0.4">
      <c r="A4" s="6" t="s">
        <v>3</v>
      </c>
      <c r="B4" s="1" t="s">
        <v>4</v>
      </c>
    </row>
    <row r="5" spans="1:2" ht="15.75" customHeight="1" x14ac:dyDescent="0.4">
      <c r="A5" s="6" t="s">
        <v>5</v>
      </c>
      <c r="B5" s="1" t="s">
        <v>6</v>
      </c>
    </row>
    <row r="6" spans="1:2" ht="15.75" customHeight="1" x14ac:dyDescent="0.4">
      <c r="A6" s="6" t="s">
        <v>7</v>
      </c>
      <c r="B6" s="1" t="s">
        <v>8</v>
      </c>
    </row>
    <row r="7" spans="1:2" ht="15.75" customHeight="1" x14ac:dyDescent="0.4">
      <c r="A7" s="6" t="s">
        <v>9</v>
      </c>
      <c r="B7" s="1" t="s">
        <v>10</v>
      </c>
    </row>
    <row r="8" spans="1:2" ht="15.75" customHeight="1" x14ac:dyDescent="0.4">
      <c r="A8" s="6" t="s">
        <v>11</v>
      </c>
      <c r="B8" s="1" t="s">
        <v>12</v>
      </c>
    </row>
    <row r="9" spans="1:2" ht="15.75" customHeight="1" x14ac:dyDescent="0.4">
      <c r="A9" s="6" t="s">
        <v>13</v>
      </c>
      <c r="B9" s="1" t="s">
        <v>14</v>
      </c>
    </row>
    <row r="10" spans="1:2" ht="15.75" customHeight="1" x14ac:dyDescent="0.4">
      <c r="A10" s="6" t="s">
        <v>15</v>
      </c>
      <c r="B10" s="1" t="s">
        <v>16</v>
      </c>
    </row>
    <row r="11" spans="1:2" ht="15.75" customHeight="1" x14ac:dyDescent="0.4">
      <c r="A11" s="6" t="s">
        <v>17</v>
      </c>
      <c r="B11" s="1" t="s">
        <v>18</v>
      </c>
    </row>
    <row r="12" spans="1:2" ht="15.75" customHeight="1" x14ac:dyDescent="0.4">
      <c r="A12" s="6" t="s">
        <v>19</v>
      </c>
      <c r="B12" s="1" t="s">
        <v>20</v>
      </c>
    </row>
    <row r="13" spans="1:2" ht="15.75" customHeight="1" x14ac:dyDescent="0.4">
      <c r="A13" s="6" t="s">
        <v>21</v>
      </c>
      <c r="B13" s="1" t="s">
        <v>22</v>
      </c>
    </row>
    <row r="14" spans="1:2" ht="15.75" customHeight="1" x14ac:dyDescent="0.4">
      <c r="A14" s="6" t="s">
        <v>23</v>
      </c>
      <c r="B14" s="1" t="s">
        <v>24</v>
      </c>
    </row>
    <row r="15" spans="1:2" ht="15.75" customHeight="1" x14ac:dyDescent="0.4">
      <c r="A15" s="6" t="s">
        <v>25</v>
      </c>
      <c r="B15" s="1" t="s">
        <v>26</v>
      </c>
    </row>
    <row r="16" spans="1:2" ht="15.75" customHeight="1" x14ac:dyDescent="0.4">
      <c r="A16" s="6" t="s">
        <v>27</v>
      </c>
      <c r="B16" s="1" t="s">
        <v>28</v>
      </c>
    </row>
    <row r="17" spans="1:2" ht="15.75" customHeight="1" x14ac:dyDescent="0.4">
      <c r="A17" s="6" t="s">
        <v>29</v>
      </c>
      <c r="B17" s="1" t="s">
        <v>30</v>
      </c>
    </row>
    <row r="18" spans="1:2" ht="15.75" customHeight="1" x14ac:dyDescent="0.4">
      <c r="A18" s="6" t="s">
        <v>31</v>
      </c>
      <c r="B18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1"/>
  <sheetViews>
    <sheetView tabSelected="1" zoomScale="76" workbookViewId="0">
      <pane ySplit="2" topLeftCell="A13" activePane="bottomLeft" state="frozen"/>
      <selection pane="bottomLeft" activeCell="F28" sqref="F28"/>
    </sheetView>
  </sheetViews>
  <sheetFormatPr defaultColWidth="12.59765625" defaultRowHeight="15.75" customHeight="1" x14ac:dyDescent="0.35"/>
  <cols>
    <col min="1" max="1" width="15.73046875" customWidth="1"/>
    <col min="3" max="3" width="17.265625" customWidth="1"/>
    <col min="5" max="5" width="19.265625" customWidth="1"/>
    <col min="6" max="6" width="24.53125" customWidth="1"/>
    <col min="8" max="8" width="19.3984375" customWidth="1"/>
    <col min="9" max="9" width="11" customWidth="1"/>
    <col min="10" max="11" width="15.1328125" customWidth="1"/>
  </cols>
  <sheetData>
    <row r="1" spans="1:15" ht="15.75" customHeight="1" x14ac:dyDescent="0.4">
      <c r="A1" s="6"/>
      <c r="B1" s="1"/>
      <c r="C1" s="1"/>
      <c r="D1" s="1"/>
      <c r="E1" s="1"/>
      <c r="F1" s="6" t="s">
        <v>33</v>
      </c>
      <c r="G1" s="6">
        <f>COUNTIF(G3:G50, "*alive*")</f>
        <v>24</v>
      </c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4">
      <c r="A2" s="6" t="s">
        <v>3</v>
      </c>
      <c r="B2" s="1" t="s">
        <v>5</v>
      </c>
      <c r="C2" s="1" t="s">
        <v>34</v>
      </c>
      <c r="D2" s="1" t="s">
        <v>9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19</v>
      </c>
      <c r="J2" s="1" t="s">
        <v>21</v>
      </c>
      <c r="K2" s="1" t="s">
        <v>23</v>
      </c>
      <c r="L2" s="1" t="s">
        <v>25</v>
      </c>
      <c r="M2" s="1" t="s">
        <v>27</v>
      </c>
      <c r="N2" s="1" t="s">
        <v>29</v>
      </c>
      <c r="O2" s="1" t="s">
        <v>31</v>
      </c>
    </row>
    <row r="3" spans="1:15" x14ac:dyDescent="0.35">
      <c r="A3" s="1" t="s">
        <v>39</v>
      </c>
      <c r="B3" s="1" t="s">
        <v>40</v>
      </c>
      <c r="D3" s="1" t="s">
        <v>41</v>
      </c>
      <c r="F3" s="1" t="s">
        <v>42</v>
      </c>
      <c r="G3" s="1" t="s">
        <v>43</v>
      </c>
      <c r="H3" s="1" t="s">
        <v>44</v>
      </c>
    </row>
    <row r="4" spans="1:15" x14ac:dyDescent="0.35">
      <c r="A4" s="1" t="s">
        <v>45</v>
      </c>
      <c r="B4" s="1" t="s">
        <v>46</v>
      </c>
      <c r="D4" s="1" t="s">
        <v>41</v>
      </c>
      <c r="F4" s="1" t="s">
        <v>42</v>
      </c>
      <c r="G4" s="1" t="s">
        <v>47</v>
      </c>
      <c r="H4" s="1" t="s">
        <v>48</v>
      </c>
    </row>
    <row r="5" spans="1:15" x14ac:dyDescent="0.35">
      <c r="A5" s="1" t="s">
        <v>49</v>
      </c>
      <c r="B5" s="1" t="s">
        <v>50</v>
      </c>
      <c r="D5" s="1" t="s">
        <v>41</v>
      </c>
      <c r="F5" s="1" t="s">
        <v>51</v>
      </c>
      <c r="G5" s="1" t="s">
        <v>47</v>
      </c>
      <c r="H5" s="1" t="s">
        <v>52</v>
      </c>
    </row>
    <row r="6" spans="1:15" x14ac:dyDescent="0.35">
      <c r="A6" s="1" t="s">
        <v>53</v>
      </c>
      <c r="B6" s="1" t="s">
        <v>54</v>
      </c>
      <c r="C6" s="1" t="s">
        <v>55</v>
      </c>
      <c r="D6" s="1" t="s">
        <v>41</v>
      </c>
      <c r="F6" s="1" t="s">
        <v>51</v>
      </c>
      <c r="G6" s="1" t="s">
        <v>47</v>
      </c>
      <c r="H6" s="1" t="s">
        <v>56</v>
      </c>
    </row>
    <row r="7" spans="1:15" x14ac:dyDescent="0.35">
      <c r="A7" s="1" t="s">
        <v>57</v>
      </c>
      <c r="B7" s="1" t="s">
        <v>58</v>
      </c>
      <c r="C7" s="1" t="s">
        <v>59</v>
      </c>
      <c r="D7" s="1" t="s">
        <v>41</v>
      </c>
      <c r="F7" s="1" t="s">
        <v>42</v>
      </c>
      <c r="G7" s="1" t="s">
        <v>43</v>
      </c>
      <c r="H7" s="1" t="s">
        <v>44</v>
      </c>
      <c r="O7" s="1" t="s">
        <v>60</v>
      </c>
    </row>
    <row r="8" spans="1:15" x14ac:dyDescent="0.35">
      <c r="A8" s="1" t="s">
        <v>61</v>
      </c>
      <c r="B8" s="1" t="s">
        <v>62</v>
      </c>
      <c r="C8" s="1" t="s">
        <v>63</v>
      </c>
      <c r="D8" s="1" t="s">
        <v>64</v>
      </c>
      <c r="F8" s="1" t="s">
        <v>42</v>
      </c>
      <c r="G8" s="1" t="s">
        <v>47</v>
      </c>
      <c r="H8" s="1" t="s">
        <v>44</v>
      </c>
    </row>
    <row r="9" spans="1:15" x14ac:dyDescent="0.35">
      <c r="A9" s="1" t="s">
        <v>65</v>
      </c>
      <c r="B9" s="1" t="s">
        <v>66</v>
      </c>
      <c r="D9" s="1" t="s">
        <v>41</v>
      </c>
      <c r="F9" s="1" t="s">
        <v>51</v>
      </c>
      <c r="G9" s="1" t="s">
        <v>47</v>
      </c>
      <c r="H9" s="1" t="s">
        <v>52</v>
      </c>
    </row>
    <row r="10" spans="1:15" x14ac:dyDescent="0.35">
      <c r="A10" s="1" t="s">
        <v>67</v>
      </c>
      <c r="B10" s="1" t="s">
        <v>68</v>
      </c>
      <c r="D10" s="1" t="s">
        <v>41</v>
      </c>
      <c r="F10" s="1" t="s">
        <v>51</v>
      </c>
      <c r="G10" s="1" t="s">
        <v>47</v>
      </c>
      <c r="H10" s="1" t="s">
        <v>69</v>
      </c>
    </row>
    <row r="11" spans="1:15" x14ac:dyDescent="0.35">
      <c r="A11" s="1" t="s">
        <v>70</v>
      </c>
      <c r="B11" s="1" t="s">
        <v>40</v>
      </c>
      <c r="D11" s="1" t="s">
        <v>41</v>
      </c>
      <c r="F11" s="1" t="s">
        <v>42</v>
      </c>
      <c r="G11" s="1" t="s">
        <v>43</v>
      </c>
      <c r="H11" s="1" t="s">
        <v>44</v>
      </c>
    </row>
    <row r="12" spans="1:15" x14ac:dyDescent="0.35">
      <c r="A12" s="1" t="s">
        <v>71</v>
      </c>
      <c r="B12" s="1" t="s">
        <v>72</v>
      </c>
      <c r="D12" s="1" t="s">
        <v>41</v>
      </c>
      <c r="F12" s="1" t="s">
        <v>42</v>
      </c>
      <c r="G12" s="1" t="s">
        <v>47</v>
      </c>
      <c r="H12" s="1" t="s">
        <v>52</v>
      </c>
      <c r="O12" s="1" t="s">
        <v>73</v>
      </c>
    </row>
    <row r="13" spans="1:15" x14ac:dyDescent="0.35">
      <c r="A13" s="1" t="s">
        <v>74</v>
      </c>
      <c r="B13" s="1" t="s">
        <v>75</v>
      </c>
      <c r="C13" s="1" t="s">
        <v>76</v>
      </c>
      <c r="D13" s="1" t="s">
        <v>41</v>
      </c>
      <c r="F13" s="1" t="s">
        <v>42</v>
      </c>
      <c r="G13" s="1" t="s">
        <v>47</v>
      </c>
      <c r="H13" s="1" t="s">
        <v>77</v>
      </c>
      <c r="O13" s="1" t="s">
        <v>78</v>
      </c>
    </row>
    <row r="14" spans="1:15" x14ac:dyDescent="0.35">
      <c r="A14" s="1" t="s">
        <v>79</v>
      </c>
      <c r="B14" s="1" t="s">
        <v>80</v>
      </c>
      <c r="D14" s="1" t="s">
        <v>64</v>
      </c>
      <c r="F14" s="1" t="s">
        <v>51</v>
      </c>
      <c r="G14" s="1" t="s">
        <v>47</v>
      </c>
      <c r="H14" s="1" t="s">
        <v>44</v>
      </c>
    </row>
    <row r="15" spans="1:15" x14ac:dyDescent="0.35">
      <c r="A15" s="1" t="s">
        <v>81</v>
      </c>
      <c r="B15" s="1" t="s">
        <v>82</v>
      </c>
      <c r="D15" s="1" t="s">
        <v>41</v>
      </c>
      <c r="F15" s="1" t="s">
        <v>42</v>
      </c>
      <c r="G15" s="1" t="s">
        <v>47</v>
      </c>
      <c r="H15" s="1" t="s">
        <v>77</v>
      </c>
    </row>
    <row r="16" spans="1:15" x14ac:dyDescent="0.35">
      <c r="A16" s="1" t="s">
        <v>83</v>
      </c>
      <c r="B16" s="1" t="s">
        <v>84</v>
      </c>
      <c r="D16" s="1" t="s">
        <v>41</v>
      </c>
      <c r="F16" s="1" t="s">
        <v>51</v>
      </c>
      <c r="G16" s="1" t="s">
        <v>47</v>
      </c>
      <c r="H16" s="1" t="s">
        <v>52</v>
      </c>
    </row>
    <row r="17" spans="1:15" x14ac:dyDescent="0.35">
      <c r="A17" s="1" t="s">
        <v>85</v>
      </c>
      <c r="B17" s="1" t="s">
        <v>86</v>
      </c>
      <c r="D17" s="1" t="s">
        <v>41</v>
      </c>
      <c r="F17" s="1" t="s">
        <v>51</v>
      </c>
      <c r="G17" s="1" t="s">
        <v>47</v>
      </c>
      <c r="H17" s="1" t="s">
        <v>56</v>
      </c>
    </row>
    <row r="18" spans="1:15" x14ac:dyDescent="0.35">
      <c r="A18" s="1" t="s">
        <v>87</v>
      </c>
      <c r="B18" s="1" t="s">
        <v>88</v>
      </c>
      <c r="D18" s="1" t="s">
        <v>41</v>
      </c>
      <c r="F18" s="1" t="s">
        <v>51</v>
      </c>
      <c r="G18" s="1" t="s">
        <v>47</v>
      </c>
      <c r="H18" s="1" t="s">
        <v>52</v>
      </c>
    </row>
    <row r="19" spans="1:15" x14ac:dyDescent="0.35">
      <c r="A19" s="1" t="s">
        <v>89</v>
      </c>
      <c r="B19" s="1" t="s">
        <v>90</v>
      </c>
      <c r="C19" s="1" t="s">
        <v>91</v>
      </c>
      <c r="D19" s="1" t="s">
        <v>64</v>
      </c>
      <c r="F19" s="1" t="s">
        <v>42</v>
      </c>
      <c r="G19" s="1" t="s">
        <v>47</v>
      </c>
      <c r="H19" s="1" t="s">
        <v>44</v>
      </c>
      <c r="O19" s="1" t="s">
        <v>92</v>
      </c>
    </row>
    <row r="20" spans="1:15" x14ac:dyDescent="0.35">
      <c r="A20" s="1" t="s">
        <v>93</v>
      </c>
      <c r="B20" s="1" t="s">
        <v>94</v>
      </c>
      <c r="C20" s="1" t="s">
        <v>95</v>
      </c>
      <c r="D20" s="1" t="s">
        <v>41</v>
      </c>
      <c r="F20" s="1" t="s">
        <v>42</v>
      </c>
      <c r="G20" s="1" t="s">
        <v>43</v>
      </c>
      <c r="H20" s="1" t="s">
        <v>44</v>
      </c>
    </row>
    <row r="21" spans="1:15" x14ac:dyDescent="0.35">
      <c r="A21" s="1" t="s">
        <v>96</v>
      </c>
      <c r="B21" s="1" t="s">
        <v>97</v>
      </c>
      <c r="D21" s="1" t="s">
        <v>64</v>
      </c>
      <c r="F21" s="1" t="s">
        <v>51</v>
      </c>
      <c r="G21" s="1" t="s">
        <v>47</v>
      </c>
      <c r="H21" s="1" t="s">
        <v>98</v>
      </c>
    </row>
    <row r="22" spans="1:15" x14ac:dyDescent="0.35">
      <c r="A22" s="1" t="s">
        <v>99</v>
      </c>
      <c r="B22" s="1" t="s">
        <v>100</v>
      </c>
      <c r="D22" s="1" t="s">
        <v>41</v>
      </c>
      <c r="F22" s="1" t="s">
        <v>42</v>
      </c>
      <c r="G22" s="1" t="s">
        <v>47</v>
      </c>
      <c r="H22" s="1" t="s">
        <v>52</v>
      </c>
    </row>
    <row r="23" spans="1:15" x14ac:dyDescent="0.35">
      <c r="A23" s="1" t="s">
        <v>101</v>
      </c>
      <c r="B23" s="1" t="s">
        <v>102</v>
      </c>
      <c r="D23" s="1" t="s">
        <v>41</v>
      </c>
      <c r="F23" s="1" t="s">
        <v>51</v>
      </c>
      <c r="G23" s="1" t="s">
        <v>47</v>
      </c>
      <c r="H23" s="1" t="s">
        <v>44</v>
      </c>
      <c r="I23" s="7"/>
      <c r="J23" s="7"/>
    </row>
    <row r="24" spans="1:15" x14ac:dyDescent="0.35">
      <c r="A24" s="1" t="s">
        <v>103</v>
      </c>
      <c r="B24" s="1" t="s">
        <v>104</v>
      </c>
      <c r="D24" s="1" t="s">
        <v>41</v>
      </c>
      <c r="F24" s="1" t="s">
        <v>42</v>
      </c>
      <c r="G24" s="1" t="s">
        <v>47</v>
      </c>
      <c r="H24" s="1" t="s">
        <v>77</v>
      </c>
      <c r="I24" s="7"/>
      <c r="J24" s="7"/>
    </row>
    <row r="25" spans="1:15" x14ac:dyDescent="0.35">
      <c r="A25" s="1" t="s">
        <v>105</v>
      </c>
      <c r="B25" s="1" t="s">
        <v>106</v>
      </c>
      <c r="D25" s="1" t="s">
        <v>41</v>
      </c>
      <c r="F25" s="1" t="s">
        <v>51</v>
      </c>
      <c r="G25" s="1" t="s">
        <v>43</v>
      </c>
      <c r="H25" s="1" t="s">
        <v>69</v>
      </c>
      <c r="I25" s="7"/>
      <c r="J25" s="7"/>
      <c r="M25" s="1" t="s">
        <v>107</v>
      </c>
    </row>
    <row r="26" spans="1:15" x14ac:dyDescent="0.35">
      <c r="A26" s="1" t="s">
        <v>108</v>
      </c>
      <c r="B26" s="1" t="s">
        <v>109</v>
      </c>
      <c r="D26" s="1" t="s">
        <v>64</v>
      </c>
      <c r="F26" s="1" t="s">
        <v>51</v>
      </c>
      <c r="G26" s="1" t="s">
        <v>47</v>
      </c>
      <c r="H26" s="1" t="s">
        <v>69</v>
      </c>
      <c r="I26" s="7"/>
      <c r="J26" s="7"/>
    </row>
    <row r="27" spans="1:15" ht="12.75" x14ac:dyDescent="0.35">
      <c r="A27" s="1" t="s">
        <v>110</v>
      </c>
      <c r="B27" s="1" t="s">
        <v>111</v>
      </c>
      <c r="D27" s="1" t="s">
        <v>41</v>
      </c>
      <c r="F27" s="1" t="s">
        <v>51</v>
      </c>
      <c r="G27" s="1" t="s">
        <v>47</v>
      </c>
      <c r="H27" s="1" t="s">
        <v>69</v>
      </c>
      <c r="I27" s="7"/>
      <c r="J27" s="7"/>
    </row>
    <row r="28" spans="1:15" ht="12.75" x14ac:dyDescent="0.35">
      <c r="A28" s="1" t="s">
        <v>112</v>
      </c>
      <c r="B28" s="1" t="s">
        <v>113</v>
      </c>
      <c r="D28" s="1" t="s">
        <v>41</v>
      </c>
      <c r="F28" s="1" t="s">
        <v>42</v>
      </c>
      <c r="G28" s="1" t="s">
        <v>47</v>
      </c>
      <c r="H28" s="1" t="s">
        <v>69</v>
      </c>
      <c r="I28" s="7"/>
      <c r="J28" s="7"/>
    </row>
    <row r="29" spans="1:15" ht="12.75" x14ac:dyDescent="0.35">
      <c r="A29" s="1" t="s">
        <v>114</v>
      </c>
      <c r="B29" s="1" t="s">
        <v>115</v>
      </c>
      <c r="D29" s="1" t="s">
        <v>116</v>
      </c>
      <c r="F29" s="1" t="s">
        <v>51</v>
      </c>
      <c r="G29" s="1" t="s">
        <v>47</v>
      </c>
      <c r="H29" s="1" t="s">
        <v>69</v>
      </c>
      <c r="I29" s="7"/>
      <c r="J29" s="7"/>
    </row>
    <row r="30" spans="1:15" ht="12.75" x14ac:dyDescent="0.35">
      <c r="A30" s="1" t="s">
        <v>117</v>
      </c>
      <c r="B30" s="1" t="s">
        <v>118</v>
      </c>
      <c r="D30" s="1" t="s">
        <v>41</v>
      </c>
      <c r="F30" s="1" t="s">
        <v>51</v>
      </c>
      <c r="G30" s="1" t="s">
        <v>47</v>
      </c>
      <c r="H30" s="1" t="s">
        <v>69</v>
      </c>
    </row>
    <row r="31" spans="1:15" ht="12.75" x14ac:dyDescent="0.35">
      <c r="A31" s="1" t="s">
        <v>119</v>
      </c>
      <c r="B31" s="1" t="s">
        <v>120</v>
      </c>
      <c r="D31" s="1" t="s">
        <v>121</v>
      </c>
      <c r="F31" s="1" t="s">
        <v>51</v>
      </c>
      <c r="G31" s="1" t="s">
        <v>47</v>
      </c>
      <c r="H31" s="1" t="s">
        <v>69</v>
      </c>
    </row>
  </sheetData>
  <autoFilter ref="A2:AD31" xr:uid="{00000000-0009-0000-0000-000001000000}">
    <sortState xmlns:xlrd2="http://schemas.microsoft.com/office/spreadsheetml/2017/richdata2" ref="A2:AD31">
      <sortCondition ref="A2:A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nv_demography_table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mummert</cp:lastModifiedBy>
  <dcterms:modified xsi:type="dcterms:W3CDTF">2025-12-09T19:21:11Z</dcterms:modified>
</cp:coreProperties>
</file>